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ma\Downloads\"/>
    </mc:Choice>
  </mc:AlternateContent>
  <xr:revisionPtr revIDLastSave="0" documentId="8_{4FED88CD-222A-4ABA-BA96-9431DA0066E9}" xr6:coauthVersionLast="47" xr6:coauthVersionMax="47" xr10:uidLastSave="{00000000-0000-0000-0000-000000000000}"/>
  <bookViews>
    <workbookView xWindow="-108" yWindow="-108" windowWidth="23256" windowHeight="13896" activeTab="2" xr2:uid="{CF93F3D2-DAE4-4E15-9D43-EFD95A2AD37D}"/>
  </bookViews>
  <sheets>
    <sheet name="SALESOFCAR&amp;BICYCLE" sheetId="1" r:id="rId1"/>
    <sheet name="ITEMSALES" sheetId="2" r:id="rId2"/>
    <sheet name="DATAS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1" i="3" l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52" i="3" s="1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A55" i="3"/>
  <c r="C2" i="1" a="1"/>
  <c r="C2" i="1" s="1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<sst xmlns="http://schemas.openxmlformats.org/spreadsheetml/2006/main" count="202" uniqueCount="110">
  <si>
    <t>Vehicle</t>
  </si>
  <si>
    <t>Price</t>
  </si>
  <si>
    <t>Car</t>
  </si>
  <si>
    <t>Bicycle</t>
  </si>
  <si>
    <t>Auto-Rickshaw</t>
  </si>
  <si>
    <t>Item</t>
  </si>
  <si>
    <t>Sales</t>
  </si>
  <si>
    <t>Item A</t>
  </si>
  <si>
    <t>Item B</t>
  </si>
  <si>
    <t>Item C</t>
  </si>
  <si>
    <t>Average sales of items priced above 100 but less than 300</t>
  </si>
  <si>
    <t>Total sales of Car and Bicycle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</si>
  <si>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</si>
  <si>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</si>
  <si>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</si>
  <si>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</si>
  <si>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</si>
  <si>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</si>
  <si>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</si>
  <si>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</si>
  <si>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</si>
  <si>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</si>
  <si>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</si>
  <si>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</si>
  <si>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</si>
  <si>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</si>
  <si>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</si>
  <si>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</si>
  <si>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</si>
  <si>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</si>
  <si>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</si>
  <si>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</si>
  <si>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</si>
  <si>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</si>
  <si>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</si>
  <si>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</si>
  <si>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</si>
  <si>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</si>
  <si>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</si>
  <si>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</si>
  <si>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</si>
  <si>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</si>
  <si>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</si>
  <si>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</si>
  <si>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</si>
  <si>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</si>
  <si>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</si>
  <si>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</si>
  <si>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</si>
  <si>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</si>
  <si>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</si>
  <si>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</si>
  <si>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</si>
  <si>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</si>
  <si>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</si>
  <si>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</si>
  <si>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</si>
  <si>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</si>
  <si>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</si>
  <si>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</si>
  <si>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</si>
  <si>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</si>
  <si>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</si>
  <si>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</si>
  <si>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</si>
  <si>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</si>
  <si>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</si>
  <si>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</si>
  <si>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</si>
  <si>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</si>
  <si>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</si>
  <si>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</si>
  <si>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</si>
  <si>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</si>
  <si>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</si>
  <si>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</si>
  <si>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</si>
  <si>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</si>
  <si>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13-01-2024</t>
  </si>
  <si>
    <t>15-01-2024</t>
  </si>
  <si>
    <t>17-01-2024</t>
  </si>
  <si>
    <t>18-01-2024</t>
  </si>
  <si>
    <t>19-01-2024</t>
  </si>
  <si>
    <t>20-01-2024</t>
  </si>
  <si>
    <t>22-01-2024</t>
  </si>
  <si>
    <t>23-01-2024</t>
  </si>
  <si>
    <t>24-01-2024</t>
  </si>
  <si>
    <t>26-01-2024</t>
  </si>
  <si>
    <t>28-01-2024</t>
  </si>
  <si>
    <t>29-01-2024</t>
  </si>
  <si>
    <t>30-01-2024</t>
  </si>
  <si>
    <t>13-02-2024</t>
  </si>
  <si>
    <t>14-02-2024</t>
  </si>
  <si>
    <t>16-02-2024</t>
  </si>
  <si>
    <t>17-02-2024</t>
  </si>
  <si>
    <t>18-02-2024</t>
  </si>
  <si>
    <t>19-02-2024</t>
  </si>
  <si>
    <t>21-02-2024</t>
  </si>
  <si>
    <t>22-02-2024</t>
  </si>
  <si>
    <t>23-02-2024</t>
  </si>
  <si>
    <t>25-02-2024</t>
  </si>
  <si>
    <t>26-02-2024</t>
  </si>
  <si>
    <t>27-02-2024</t>
  </si>
  <si>
    <t>28-02-2024</t>
  </si>
  <si>
    <t>4.Count how many customer names are recorded.</t>
  </si>
  <si>
    <t>5.Calculate Total Sales for each row.</t>
  </si>
  <si>
    <t>Total Sales</t>
  </si>
  <si>
    <t>6.  Calculate the total sales of Notebooks in the North region only.</t>
  </si>
  <si>
    <t>7. Create a column chart showing total sales by product.</t>
  </si>
  <si>
    <t>8. 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</si>
</sst>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1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m\-dd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m\-dd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DATASET!$D$1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A-4BD4-ADEA-8DED802D962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DATASET!$D$1:$D$63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A-4BD4-ADEA-8DED802D962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DATASET!$H$1:$H$63</c:f>
              <c:numCache>
                <c:formatCode>General</c:formatCode>
                <c:ptCount val="63"/>
                <c:pt idx="0">
                  <c:v>0</c:v>
                </c:pt>
                <c:pt idx="1">
                  <c:v>500</c:v>
                </c:pt>
                <c:pt idx="2">
                  <c:v>200</c:v>
                </c:pt>
                <c:pt idx="3">
                  <c:v>375</c:v>
                </c:pt>
                <c:pt idx="4">
                  <c:v>250</c:v>
                </c:pt>
                <c:pt idx="5">
                  <c:v>150</c:v>
                </c:pt>
                <c:pt idx="6">
                  <c:v>600</c:v>
                </c:pt>
                <c:pt idx="7">
                  <c:v>200</c:v>
                </c:pt>
                <c:pt idx="8">
                  <c:v>180</c:v>
                </c:pt>
                <c:pt idx="9">
                  <c:v>550</c:v>
                </c:pt>
                <c:pt idx="10">
                  <c:v>400</c:v>
                </c:pt>
                <c:pt idx="11">
                  <c:v>200</c:v>
                </c:pt>
                <c:pt idx="12">
                  <c:v>280</c:v>
                </c:pt>
                <c:pt idx="13">
                  <c:v>700</c:v>
                </c:pt>
                <c:pt idx="14">
                  <c:v>280</c:v>
                </c:pt>
                <c:pt idx="15">
                  <c:v>300</c:v>
                </c:pt>
                <c:pt idx="16">
                  <c:v>125</c:v>
                </c:pt>
                <c:pt idx="17">
                  <c:v>160</c:v>
                </c:pt>
                <c:pt idx="18">
                  <c:v>500</c:v>
                </c:pt>
                <c:pt idx="19">
                  <c:v>150</c:v>
                </c:pt>
                <c:pt idx="20">
                  <c:v>450</c:v>
                </c:pt>
                <c:pt idx="21">
                  <c:v>450</c:v>
                </c:pt>
                <c:pt idx="22">
                  <c:v>175</c:v>
                </c:pt>
                <c:pt idx="23">
                  <c:v>240</c:v>
                </c:pt>
                <c:pt idx="24">
                  <c:v>550</c:v>
                </c:pt>
                <c:pt idx="25">
                  <c:v>140</c:v>
                </c:pt>
                <c:pt idx="26">
                  <c:v>400</c:v>
                </c:pt>
                <c:pt idx="27">
                  <c:v>110</c:v>
                </c:pt>
                <c:pt idx="28">
                  <c:v>216</c:v>
                </c:pt>
                <c:pt idx="29">
                  <c:v>650</c:v>
                </c:pt>
                <c:pt idx="30">
                  <c:v>320</c:v>
                </c:pt>
                <c:pt idx="31">
                  <c:v>250</c:v>
                </c:pt>
                <c:pt idx="32">
                  <c:v>90</c:v>
                </c:pt>
                <c:pt idx="33">
                  <c:v>176</c:v>
                </c:pt>
                <c:pt idx="34">
                  <c:v>850</c:v>
                </c:pt>
                <c:pt idx="35">
                  <c:v>190</c:v>
                </c:pt>
                <c:pt idx="36">
                  <c:v>375</c:v>
                </c:pt>
                <c:pt idx="37">
                  <c:v>140</c:v>
                </c:pt>
                <c:pt idx="38">
                  <c:v>192</c:v>
                </c:pt>
                <c:pt idx="39">
                  <c:v>800</c:v>
                </c:pt>
                <c:pt idx="40">
                  <c:v>270</c:v>
                </c:pt>
                <c:pt idx="41">
                  <c:v>525</c:v>
                </c:pt>
                <c:pt idx="42">
                  <c:v>150</c:v>
                </c:pt>
                <c:pt idx="43">
                  <c:v>208</c:v>
                </c:pt>
                <c:pt idx="44">
                  <c:v>700</c:v>
                </c:pt>
                <c:pt idx="45">
                  <c:v>200</c:v>
                </c:pt>
                <c:pt idx="46">
                  <c:v>425</c:v>
                </c:pt>
                <c:pt idx="47">
                  <c:v>95</c:v>
                </c:pt>
                <c:pt idx="48">
                  <c:v>256</c:v>
                </c:pt>
                <c:pt idx="49">
                  <c:v>600</c:v>
                </c:pt>
                <c:pt idx="50">
                  <c:v>250</c:v>
                </c:pt>
                <c:pt idx="51">
                  <c:v>16543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0A-4BD4-ADEA-8DED802D9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283120"/>
        <c:axId val="156283600"/>
      </c:barChart>
      <c:catAx>
        <c:axId val="156283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3600"/>
        <c:crosses val="autoZero"/>
        <c:auto val="1"/>
        <c:lblAlgn val="ctr"/>
        <c:lblOffset val="100"/>
        <c:noMultiLvlLbl val="0"/>
      </c:catAx>
      <c:valAx>
        <c:axId val="15628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DATASET!$A$81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1-422D-86A4-A1CF043C86E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DATASET!$G$1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B1-422D-86A4-A1CF043C86E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DATASET!$G$1:$G$81</c:f>
              <c:numCache>
                <c:formatCode>mm\-dd\-yyyy</c:formatCode>
                <c:ptCount val="81"/>
                <c:pt idx="0" formatCode="General">
                  <c:v>0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45566</c:v>
                </c:pt>
                <c:pt idx="6">
                  <c:v>45597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45293</c:v>
                </c:pt>
                <c:pt idx="21">
                  <c:v>45324</c:v>
                </c:pt>
                <c:pt idx="22">
                  <c:v>45353</c:v>
                </c:pt>
                <c:pt idx="23">
                  <c:v>45384</c:v>
                </c:pt>
                <c:pt idx="24">
                  <c:v>45445</c:v>
                </c:pt>
                <c:pt idx="25">
                  <c:v>45475</c:v>
                </c:pt>
                <c:pt idx="26">
                  <c:v>45506</c:v>
                </c:pt>
                <c:pt idx="27">
                  <c:v>45537</c:v>
                </c:pt>
                <c:pt idx="28">
                  <c:v>45567</c:v>
                </c:pt>
                <c:pt idx="29">
                  <c:v>45628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>
                  <c:v>45294</c:v>
                </c:pt>
                <c:pt idx="44">
                  <c:v>45325</c:v>
                </c:pt>
                <c:pt idx="45">
                  <c:v>45354</c:v>
                </c:pt>
                <c:pt idx="46">
                  <c:v>45385</c:v>
                </c:pt>
                <c:pt idx="47">
                  <c:v>45415</c:v>
                </c:pt>
                <c:pt idx="48">
                  <c:v>45446</c:v>
                </c:pt>
                <c:pt idx="49">
                  <c:v>45476</c:v>
                </c:pt>
                <c:pt idx="50">
                  <c:v>45507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B1-422D-86A4-A1CF043C86E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DATASET!$H$1:$H$81</c:f>
              <c:numCache>
                <c:formatCode>General</c:formatCode>
                <c:ptCount val="81"/>
                <c:pt idx="0">
                  <c:v>0</c:v>
                </c:pt>
                <c:pt idx="1">
                  <c:v>500</c:v>
                </c:pt>
                <c:pt idx="2">
                  <c:v>200</c:v>
                </c:pt>
                <c:pt idx="3">
                  <c:v>375</c:v>
                </c:pt>
                <c:pt idx="4">
                  <c:v>250</c:v>
                </c:pt>
                <c:pt idx="5">
                  <c:v>150</c:v>
                </c:pt>
                <c:pt idx="6">
                  <c:v>600</c:v>
                </c:pt>
                <c:pt idx="7">
                  <c:v>200</c:v>
                </c:pt>
                <c:pt idx="8">
                  <c:v>180</c:v>
                </c:pt>
                <c:pt idx="9">
                  <c:v>550</c:v>
                </c:pt>
                <c:pt idx="10">
                  <c:v>400</c:v>
                </c:pt>
                <c:pt idx="11">
                  <c:v>200</c:v>
                </c:pt>
                <c:pt idx="12">
                  <c:v>280</c:v>
                </c:pt>
                <c:pt idx="13">
                  <c:v>700</c:v>
                </c:pt>
                <c:pt idx="14">
                  <c:v>280</c:v>
                </c:pt>
                <c:pt idx="15">
                  <c:v>300</c:v>
                </c:pt>
                <c:pt idx="16">
                  <c:v>125</c:v>
                </c:pt>
                <c:pt idx="17">
                  <c:v>160</c:v>
                </c:pt>
                <c:pt idx="18">
                  <c:v>500</c:v>
                </c:pt>
                <c:pt idx="19">
                  <c:v>150</c:v>
                </c:pt>
                <c:pt idx="20">
                  <c:v>450</c:v>
                </c:pt>
                <c:pt idx="21">
                  <c:v>450</c:v>
                </c:pt>
                <c:pt idx="22">
                  <c:v>175</c:v>
                </c:pt>
                <c:pt idx="23">
                  <c:v>240</c:v>
                </c:pt>
                <c:pt idx="24">
                  <c:v>550</c:v>
                </c:pt>
                <c:pt idx="25">
                  <c:v>140</c:v>
                </c:pt>
                <c:pt idx="26">
                  <c:v>400</c:v>
                </c:pt>
                <c:pt idx="27">
                  <c:v>110</c:v>
                </c:pt>
                <c:pt idx="28">
                  <c:v>216</c:v>
                </c:pt>
                <c:pt idx="29">
                  <c:v>650</c:v>
                </c:pt>
                <c:pt idx="30">
                  <c:v>320</c:v>
                </c:pt>
                <c:pt idx="31">
                  <c:v>250</c:v>
                </c:pt>
                <c:pt idx="32">
                  <c:v>90</c:v>
                </c:pt>
                <c:pt idx="33">
                  <c:v>176</c:v>
                </c:pt>
                <c:pt idx="34">
                  <c:v>850</c:v>
                </c:pt>
                <c:pt idx="35">
                  <c:v>190</c:v>
                </c:pt>
                <c:pt idx="36">
                  <c:v>375</c:v>
                </c:pt>
                <c:pt idx="37">
                  <c:v>140</c:v>
                </c:pt>
                <c:pt idx="38">
                  <c:v>192</c:v>
                </c:pt>
                <c:pt idx="39">
                  <c:v>800</c:v>
                </c:pt>
                <c:pt idx="40">
                  <c:v>270</c:v>
                </c:pt>
                <c:pt idx="41">
                  <c:v>525</c:v>
                </c:pt>
                <c:pt idx="42">
                  <c:v>150</c:v>
                </c:pt>
                <c:pt idx="43">
                  <c:v>208</c:v>
                </c:pt>
                <c:pt idx="44">
                  <c:v>700</c:v>
                </c:pt>
                <c:pt idx="45">
                  <c:v>200</c:v>
                </c:pt>
                <c:pt idx="46">
                  <c:v>425</c:v>
                </c:pt>
                <c:pt idx="47">
                  <c:v>95</c:v>
                </c:pt>
                <c:pt idx="48">
                  <c:v>256</c:v>
                </c:pt>
                <c:pt idx="49">
                  <c:v>600</c:v>
                </c:pt>
                <c:pt idx="50">
                  <c:v>250</c:v>
                </c:pt>
                <c:pt idx="51">
                  <c:v>16543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B1-422D-86A4-A1CF043C8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217616"/>
        <c:axId val="306219536"/>
      </c:lineChart>
      <c:catAx>
        <c:axId val="30621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19536"/>
        <c:crosses val="autoZero"/>
        <c:auto val="1"/>
        <c:lblAlgn val="ctr"/>
        <c:lblOffset val="100"/>
        <c:noMultiLvlLbl val="0"/>
      </c:catAx>
      <c:valAx>
        <c:axId val="3062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84666</xdr:colOff>
      <xdr:row>63</xdr:row>
      <xdr:rowOff>50475</xdr:rowOff>
    </xdr:from>
    <xdr:to>
      <xdr:col>3</xdr:col>
      <xdr:colOff>325641</xdr:colOff>
      <xdr:row>78</xdr:row>
      <xdr:rowOff>68059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10720-A7C5-4E66-5584-FEA0841EE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45590</xdr:colOff>
      <xdr:row>81</xdr:row>
      <xdr:rowOff>57964</xdr:rowOff>
    </xdr:from>
    <xdr:to>
      <xdr:col>3</xdr:col>
      <xdr:colOff>319130</xdr:colOff>
      <xdr:row>96</xdr:row>
      <xdr:rowOff>65780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EEF158-9720-92A9-4281-AA6B85BF6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2C2AF7-E519-47F4-B5B5-2D9C9630A1BA}" name="Table2" displayName="Table2" ref="A1:H52" totalsRowCount="1" headerRowDxfId="15">
  <autoFilter ref="A1:H51" xr:uid="{9F2C2AF7-E519-47F4-B5B5-2D9C9630A1BA}"/>
  <tableColumns count="8">
    <tableColumn id="1" xr3:uid="{DC0F868F-7C95-4A87-A8E0-C1F8CDC1A046}" name="OrderID" dataDxfId="14" totalsRowDxfId="13"/>
    <tableColumn id="2" xr3:uid="{302301DF-D4A6-4606-B545-E4D2D5A20C29}" name="CustomerName" dataDxfId="12" totalsRowDxfId="11"/>
    <tableColumn id="3" xr3:uid="{3CE0FDAA-858A-4FEE-9BCC-F32FEC316095}" name="Region" dataDxfId="10" totalsRowDxfId="9"/>
    <tableColumn id="4" xr3:uid="{A8D92472-1094-4265-8D7A-DACFCF25EF6F}" name="Product" dataDxfId="8" totalsRowDxfId="7"/>
    <tableColumn id="5" xr3:uid="{CE75A8B4-80A8-4E7F-9537-EBDF375753D2}" name="Quantity" dataDxfId="6" totalsRowDxfId="5"/>
    <tableColumn id="6" xr3:uid="{F9E8ED1C-A69E-4D37-A12A-4B187CED0C4A}" name="UnitPrice" dataDxfId="4" totalsRowDxfId="3"/>
    <tableColumn id="7" xr3:uid="{F20B723E-9AFA-4A92-8D9F-83375EA45561}" name="OrderDate" dataDxfId="2" totalsRowDxfId="1"/>
    <tableColumn id="8" xr3:uid="{C978AE26-16F9-456B-8DC2-8031D0604A41}" name="Total Sales" totalsRowFunction="custom" dataDxfId="0">
      <calculatedColumnFormula>Table2[[#This Row],[Quantity]]*Table2[[#This Row],[UnitPrice]]</calculatedColumnFormula>
      <totalsRowFormula>SUM(Table2[Total Sales])</totalsRow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3AB9-30BA-4BE7-A877-691D381CDA24}">
  <dimension ref="A1:C4"/>
  <sheetViews>
    <sheetView zoomScale="170" zoomScaleNormal="170" workbookViewId="0">
      <selection activeCell="C4" sqref="C4"/>
    </sheetView>
  </sheetViews>
  <sheetFormatPr defaultRowHeight="14.4" x14ac:dyDescent="0.3"/>
  <cols>
    <col min="1" max="1" width="13.109375" bestFit="1" customWidth="1"/>
    <col min="3" max="3" width="24.77734375" bestFit="1" customWidth="1"/>
  </cols>
  <sheetData>
    <row r="1" spans="1:3" x14ac:dyDescent="0.3">
      <c r="A1" s="1" t="s">
        <v>0</v>
      </c>
      <c r="B1" s="1" t="s">
        <v>1</v>
      </c>
      <c r="C1" t="s">
        <v>11</v>
      </c>
    </row>
    <row r="2" spans="1:3" x14ac:dyDescent="0.3">
      <c r="A2" s="1" t="s">
        <v>2</v>
      </c>
      <c r="B2" s="1">
        <v>500000</v>
      </c>
      <c r="C2" cm="1">
        <f t="array" ref="C2">SUM(SUMIF(A2:A4,{"Car","Bicycle"},B2:B4))</f>
        <v>510500</v>
      </c>
    </row>
    <row r="3" spans="1:3" x14ac:dyDescent="0.3">
      <c r="A3" s="1" t="s">
        <v>3</v>
      </c>
      <c r="B3" s="1">
        <v>10500</v>
      </c>
    </row>
    <row r="4" spans="1:3" x14ac:dyDescent="0.3">
      <c r="A4" s="1" t="s">
        <v>4</v>
      </c>
      <c r="B4" s="1">
        <v>25000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24AD-C41A-45AD-AE90-8E3DEBE9C216}">
  <dimension ref="A1:D4"/>
  <sheetViews>
    <sheetView zoomScale="170" zoomScaleNormal="170" workbookViewId="0">
      <selection activeCell="B1" sqref="B1:B1048576"/>
    </sheetView>
  </sheetViews>
  <sheetFormatPr defaultRowHeight="14.4" x14ac:dyDescent="0.3"/>
  <cols>
    <col min="4" max="4" width="48.21875" bestFit="1" customWidth="1"/>
  </cols>
  <sheetData>
    <row r="1" spans="1:4" x14ac:dyDescent="0.3">
      <c r="A1" s="1" t="s">
        <v>5</v>
      </c>
      <c r="B1" s="1" t="s">
        <v>1</v>
      </c>
      <c r="C1" s="1" t="s">
        <v>6</v>
      </c>
      <c r="D1" s="1" t="s">
        <v>10</v>
      </c>
    </row>
    <row r="2" spans="1:4" x14ac:dyDescent="0.3">
      <c r="A2" s="1" t="s">
        <v>7</v>
      </c>
      <c r="B2" s="1">
        <v>90</v>
      </c>
      <c r="C2" s="1">
        <v>1000</v>
      </c>
      <c r="D2">
        <f>AVERAGEIFS(B2:B4,C2:C4,"&gt;100",B2:B4,"&lt;300")</f>
        <v>163.33333333333334</v>
      </c>
    </row>
    <row r="3" spans="1:4" x14ac:dyDescent="0.3">
      <c r="A3" s="1" t="s">
        <v>8</v>
      </c>
      <c r="B3" s="1">
        <v>150</v>
      </c>
      <c r="C3" s="1">
        <v>1200</v>
      </c>
    </row>
    <row r="4" spans="1:4" x14ac:dyDescent="0.3">
      <c r="A4" s="1" t="s">
        <v>9</v>
      </c>
      <c r="B4" s="1">
        <v>250</v>
      </c>
      <c r="C4" s="1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EA6A-9771-4D90-91D4-BA87382DB6D2}">
  <dimension ref="A1:H81"/>
  <sheetViews>
    <sheetView tabSelected="1" topLeftCell="A13" zoomScale="117" zoomScaleNormal="130" workbookViewId="0">
      <selection activeCell="I6" sqref="I6"/>
    </sheetView>
  </sheetViews>
  <sheetFormatPr defaultColWidth="12.6640625" defaultRowHeight="14.4" x14ac:dyDescent="0.3"/>
  <cols>
    <col min="2" max="2" width="15.77734375" customWidth="1"/>
  </cols>
  <sheetData>
    <row r="1" spans="1:8" ht="15.75" customHeigh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106</v>
      </c>
    </row>
    <row r="2" spans="1:8" ht="15.75" customHeight="1" x14ac:dyDescent="0.3">
      <c r="A2" s="3">
        <v>1001</v>
      </c>
      <c r="B2" s="4" t="s">
        <v>19</v>
      </c>
      <c r="C2" s="4" t="s">
        <v>20</v>
      </c>
      <c r="D2" s="4" t="s">
        <v>21</v>
      </c>
      <c r="E2" s="3">
        <v>10</v>
      </c>
      <c r="F2" s="3">
        <v>50</v>
      </c>
      <c r="G2" s="5">
        <v>45413</v>
      </c>
      <c r="H2" s="6">
        <f>Table2[[#This Row],[Quantity]]*Table2[[#This Row],[UnitPrice]]</f>
        <v>500</v>
      </c>
    </row>
    <row r="3" spans="1:8" ht="15.75" customHeight="1" x14ac:dyDescent="0.3">
      <c r="A3" s="3">
        <v>1002</v>
      </c>
      <c r="B3" s="4" t="s">
        <v>22</v>
      </c>
      <c r="C3" s="4" t="s">
        <v>23</v>
      </c>
      <c r="D3" s="4" t="s">
        <v>24</v>
      </c>
      <c r="E3" s="3">
        <v>20</v>
      </c>
      <c r="F3" s="3">
        <v>10</v>
      </c>
      <c r="G3" s="5">
        <v>45444</v>
      </c>
      <c r="H3">
        <f>Table2[[#This Row],[Quantity]]*Table2[[#This Row],[UnitPrice]]</f>
        <v>200</v>
      </c>
    </row>
    <row r="4" spans="1:8" ht="15.75" customHeight="1" x14ac:dyDescent="0.3">
      <c r="A4" s="3">
        <v>1003</v>
      </c>
      <c r="B4" s="4" t="s">
        <v>25</v>
      </c>
      <c r="C4" s="4" t="s">
        <v>26</v>
      </c>
      <c r="D4" s="4" t="s">
        <v>27</v>
      </c>
      <c r="E4" s="3">
        <v>15</v>
      </c>
      <c r="F4" s="3">
        <v>25</v>
      </c>
      <c r="G4" s="5">
        <v>45474</v>
      </c>
      <c r="H4" s="6">
        <f>Table2[[#This Row],[Quantity]]*Table2[[#This Row],[UnitPrice]]</f>
        <v>375</v>
      </c>
    </row>
    <row r="5" spans="1:8" ht="15.75" customHeight="1" x14ac:dyDescent="0.3">
      <c r="A5" s="3">
        <v>1004</v>
      </c>
      <c r="B5" s="4" t="s">
        <v>28</v>
      </c>
      <c r="C5" s="4" t="s">
        <v>29</v>
      </c>
      <c r="D5" s="4" t="s">
        <v>21</v>
      </c>
      <c r="E5" s="3">
        <v>5</v>
      </c>
      <c r="F5" s="3">
        <v>50</v>
      </c>
      <c r="G5" s="5">
        <v>45505</v>
      </c>
      <c r="H5">
        <f>Table2[[#This Row],[Quantity]]*Table2[[#This Row],[UnitPrice]]</f>
        <v>250</v>
      </c>
    </row>
    <row r="6" spans="1:8" ht="15.75" customHeight="1" x14ac:dyDescent="0.3">
      <c r="A6" s="3">
        <v>1005</v>
      </c>
      <c r="B6" s="4" t="s">
        <v>30</v>
      </c>
      <c r="C6" s="4" t="s">
        <v>20</v>
      </c>
      <c r="D6" s="4" t="s">
        <v>31</v>
      </c>
      <c r="E6" s="3">
        <v>30</v>
      </c>
      <c r="F6" s="3">
        <v>5</v>
      </c>
      <c r="G6" s="5">
        <v>45566</v>
      </c>
      <c r="H6">
        <f>Table2[[#This Row],[Quantity]]*Table2[[#This Row],[UnitPrice]]</f>
        <v>150</v>
      </c>
    </row>
    <row r="7" spans="1:8" ht="15.75" customHeight="1" x14ac:dyDescent="0.3">
      <c r="A7" s="3">
        <v>1006</v>
      </c>
      <c r="B7" s="4" t="s">
        <v>32</v>
      </c>
      <c r="C7" s="4" t="s">
        <v>23</v>
      </c>
      <c r="D7" s="4" t="s">
        <v>21</v>
      </c>
      <c r="E7" s="3">
        <v>12</v>
      </c>
      <c r="F7" s="3">
        <v>50</v>
      </c>
      <c r="G7" s="5">
        <v>45597</v>
      </c>
      <c r="H7">
        <f>Table2[[#This Row],[Quantity]]*Table2[[#This Row],[UnitPrice]]</f>
        <v>600</v>
      </c>
    </row>
    <row r="8" spans="1:8" ht="15.75" customHeight="1" x14ac:dyDescent="0.3">
      <c r="A8" s="3">
        <v>1007</v>
      </c>
      <c r="B8" s="4" t="s">
        <v>33</v>
      </c>
      <c r="C8" s="4" t="s">
        <v>26</v>
      </c>
      <c r="D8" s="4" t="s">
        <v>34</v>
      </c>
      <c r="E8" s="3">
        <v>25</v>
      </c>
      <c r="F8" s="3">
        <v>8</v>
      </c>
      <c r="G8" s="3" t="s">
        <v>78</v>
      </c>
      <c r="H8">
        <f>Table2[[#This Row],[Quantity]]*Table2[[#This Row],[UnitPrice]]</f>
        <v>200</v>
      </c>
    </row>
    <row r="9" spans="1:8" ht="15.75" customHeight="1" x14ac:dyDescent="0.3">
      <c r="A9" s="3">
        <v>1008</v>
      </c>
      <c r="B9" s="4" t="s">
        <v>35</v>
      </c>
      <c r="C9" s="4" t="s">
        <v>29</v>
      </c>
      <c r="D9" s="4" t="s">
        <v>24</v>
      </c>
      <c r="E9" s="3">
        <v>18</v>
      </c>
      <c r="F9" s="3">
        <v>10</v>
      </c>
      <c r="G9" s="3" t="s">
        <v>79</v>
      </c>
      <c r="H9">
        <f>Table2[[#This Row],[Quantity]]*Table2[[#This Row],[UnitPrice]]</f>
        <v>180</v>
      </c>
    </row>
    <row r="10" spans="1:8" ht="15.75" customHeight="1" x14ac:dyDescent="0.3">
      <c r="A10" s="3">
        <v>1009</v>
      </c>
      <c r="B10" s="4" t="s">
        <v>36</v>
      </c>
      <c r="C10" s="4" t="s">
        <v>20</v>
      </c>
      <c r="D10" s="4" t="s">
        <v>27</v>
      </c>
      <c r="E10" s="3">
        <v>22</v>
      </c>
      <c r="F10" s="3">
        <v>25</v>
      </c>
      <c r="G10" s="3" t="s">
        <v>80</v>
      </c>
      <c r="H10">
        <f>Table2[[#This Row],[Quantity]]*Table2[[#This Row],[UnitPrice]]</f>
        <v>550</v>
      </c>
    </row>
    <row r="11" spans="1:8" ht="15.75" customHeight="1" x14ac:dyDescent="0.3">
      <c r="A11" s="3">
        <v>1010</v>
      </c>
      <c r="B11" s="4" t="s">
        <v>37</v>
      </c>
      <c r="C11" s="4" t="s">
        <v>23</v>
      </c>
      <c r="D11" s="4" t="s">
        <v>21</v>
      </c>
      <c r="E11" s="3">
        <v>8</v>
      </c>
      <c r="F11" s="3">
        <v>50</v>
      </c>
      <c r="G11" s="3" t="s">
        <v>81</v>
      </c>
      <c r="H11">
        <f>Table2[[#This Row],[Quantity]]*Table2[[#This Row],[UnitPrice]]</f>
        <v>400</v>
      </c>
    </row>
    <row r="12" spans="1:8" ht="15.75" customHeight="1" x14ac:dyDescent="0.3">
      <c r="A12" s="3">
        <v>1011</v>
      </c>
      <c r="B12" s="4" t="s">
        <v>38</v>
      </c>
      <c r="C12" s="4" t="s">
        <v>26</v>
      </c>
      <c r="D12" s="4" t="s">
        <v>31</v>
      </c>
      <c r="E12" s="3">
        <v>40</v>
      </c>
      <c r="F12" s="3">
        <v>5</v>
      </c>
      <c r="G12" s="3" t="s">
        <v>82</v>
      </c>
      <c r="H12">
        <f>Table2[[#This Row],[Quantity]]*Table2[[#This Row],[UnitPrice]]</f>
        <v>200</v>
      </c>
    </row>
    <row r="13" spans="1:8" ht="15.75" customHeight="1" x14ac:dyDescent="0.3">
      <c r="A13" s="3">
        <v>1012</v>
      </c>
      <c r="B13" s="4" t="s">
        <v>39</v>
      </c>
      <c r="C13" s="4" t="s">
        <v>29</v>
      </c>
      <c r="D13" s="4" t="s">
        <v>34</v>
      </c>
      <c r="E13" s="3">
        <v>35</v>
      </c>
      <c r="F13" s="3">
        <v>8</v>
      </c>
      <c r="G13" s="3" t="s">
        <v>83</v>
      </c>
      <c r="H13">
        <f>Table2[[#This Row],[Quantity]]*Table2[[#This Row],[UnitPrice]]</f>
        <v>280</v>
      </c>
    </row>
    <row r="14" spans="1:8" ht="15.75" customHeight="1" x14ac:dyDescent="0.3">
      <c r="A14" s="3">
        <v>1013</v>
      </c>
      <c r="B14" s="4" t="s">
        <v>40</v>
      </c>
      <c r="C14" s="4" t="s">
        <v>20</v>
      </c>
      <c r="D14" s="4" t="s">
        <v>21</v>
      </c>
      <c r="E14" s="3">
        <v>14</v>
      </c>
      <c r="F14" s="3">
        <v>50</v>
      </c>
      <c r="G14" s="3" t="s">
        <v>84</v>
      </c>
      <c r="H14">
        <f>Table2[[#This Row],[Quantity]]*Table2[[#This Row],[UnitPrice]]</f>
        <v>700</v>
      </c>
    </row>
    <row r="15" spans="1:8" ht="15.75" customHeight="1" x14ac:dyDescent="0.3">
      <c r="A15" s="3">
        <v>1014</v>
      </c>
      <c r="B15" s="4" t="s">
        <v>41</v>
      </c>
      <c r="C15" s="4" t="s">
        <v>23</v>
      </c>
      <c r="D15" s="4" t="s">
        <v>24</v>
      </c>
      <c r="E15" s="3">
        <v>28</v>
      </c>
      <c r="F15" s="3">
        <v>10</v>
      </c>
      <c r="G15" s="3" t="s">
        <v>85</v>
      </c>
      <c r="H15">
        <f>Table2[[#This Row],[Quantity]]*Table2[[#This Row],[UnitPrice]]</f>
        <v>280</v>
      </c>
    </row>
    <row r="16" spans="1:8" ht="15.75" customHeight="1" x14ac:dyDescent="0.3">
      <c r="A16" s="3">
        <v>1015</v>
      </c>
      <c r="B16" s="4" t="s">
        <v>42</v>
      </c>
      <c r="C16" s="4" t="s">
        <v>26</v>
      </c>
      <c r="D16" s="4" t="s">
        <v>27</v>
      </c>
      <c r="E16" s="3">
        <v>12</v>
      </c>
      <c r="F16" s="3">
        <v>25</v>
      </c>
      <c r="G16" s="3" t="s">
        <v>86</v>
      </c>
      <c r="H16">
        <f>Table2[[#This Row],[Quantity]]*Table2[[#This Row],[UnitPrice]]</f>
        <v>300</v>
      </c>
    </row>
    <row r="17" spans="1:8" ht="15.75" customHeight="1" x14ac:dyDescent="0.3">
      <c r="A17" s="3">
        <v>1016</v>
      </c>
      <c r="B17" s="4" t="s">
        <v>43</v>
      </c>
      <c r="C17" s="4" t="s">
        <v>29</v>
      </c>
      <c r="D17" s="4" t="s">
        <v>31</v>
      </c>
      <c r="E17" s="3">
        <v>25</v>
      </c>
      <c r="F17" s="3">
        <v>5</v>
      </c>
      <c r="G17" s="3" t="s">
        <v>87</v>
      </c>
      <c r="H17">
        <f>Table2[[#This Row],[Quantity]]*Table2[[#This Row],[UnitPrice]]</f>
        <v>125</v>
      </c>
    </row>
    <row r="18" spans="1:8" ht="15.75" customHeight="1" x14ac:dyDescent="0.3">
      <c r="A18" s="3">
        <v>1017</v>
      </c>
      <c r="B18" s="4" t="s">
        <v>44</v>
      </c>
      <c r="C18" s="4" t="s">
        <v>20</v>
      </c>
      <c r="D18" s="4" t="s">
        <v>34</v>
      </c>
      <c r="E18" s="3">
        <v>20</v>
      </c>
      <c r="F18" s="3">
        <v>8</v>
      </c>
      <c r="G18" s="3" t="s">
        <v>88</v>
      </c>
      <c r="H18">
        <f>Table2[[#This Row],[Quantity]]*Table2[[#This Row],[UnitPrice]]</f>
        <v>160</v>
      </c>
    </row>
    <row r="19" spans="1:8" ht="15.75" customHeight="1" x14ac:dyDescent="0.3">
      <c r="A19" s="3">
        <v>1018</v>
      </c>
      <c r="B19" s="4" t="s">
        <v>45</v>
      </c>
      <c r="C19" s="4" t="s">
        <v>23</v>
      </c>
      <c r="D19" s="4" t="s">
        <v>21</v>
      </c>
      <c r="E19" s="3">
        <v>10</v>
      </c>
      <c r="F19" s="3">
        <v>50</v>
      </c>
      <c r="G19" s="3" t="s">
        <v>89</v>
      </c>
      <c r="H19">
        <f>Table2[[#This Row],[Quantity]]*Table2[[#This Row],[UnitPrice]]</f>
        <v>500</v>
      </c>
    </row>
    <row r="20" spans="1:8" ht="15.75" customHeight="1" x14ac:dyDescent="0.3">
      <c r="A20" s="3">
        <v>1019</v>
      </c>
      <c r="B20" s="4" t="s">
        <v>46</v>
      </c>
      <c r="C20" s="4" t="s">
        <v>26</v>
      </c>
      <c r="D20" s="4" t="s">
        <v>24</v>
      </c>
      <c r="E20" s="3">
        <v>15</v>
      </c>
      <c r="F20" s="3">
        <v>10</v>
      </c>
      <c r="G20" s="3" t="s">
        <v>90</v>
      </c>
      <c r="H20">
        <f>Table2[[#This Row],[Quantity]]*Table2[[#This Row],[UnitPrice]]</f>
        <v>150</v>
      </c>
    </row>
    <row r="21" spans="1:8" ht="15.75" customHeight="1" x14ac:dyDescent="0.3">
      <c r="A21" s="3">
        <v>1020</v>
      </c>
      <c r="B21" s="4" t="s">
        <v>47</v>
      </c>
      <c r="C21" s="4" t="s">
        <v>29</v>
      </c>
      <c r="D21" s="4" t="s">
        <v>27</v>
      </c>
      <c r="E21" s="3">
        <v>18</v>
      </c>
      <c r="F21" s="3">
        <v>25</v>
      </c>
      <c r="G21" s="5">
        <v>45293</v>
      </c>
      <c r="H21">
        <f>Table2[[#This Row],[Quantity]]*Table2[[#This Row],[UnitPrice]]</f>
        <v>450</v>
      </c>
    </row>
    <row r="22" spans="1:8" ht="15.75" customHeight="1" x14ac:dyDescent="0.3">
      <c r="A22" s="3">
        <v>1021</v>
      </c>
      <c r="B22" s="4" t="s">
        <v>48</v>
      </c>
      <c r="C22" s="4" t="s">
        <v>20</v>
      </c>
      <c r="D22" s="4" t="s">
        <v>21</v>
      </c>
      <c r="E22" s="3">
        <v>9</v>
      </c>
      <c r="F22" s="3">
        <v>50</v>
      </c>
      <c r="G22" s="5">
        <v>45324</v>
      </c>
      <c r="H22">
        <f>Table2[[#This Row],[Quantity]]*Table2[[#This Row],[UnitPrice]]</f>
        <v>450</v>
      </c>
    </row>
    <row r="23" spans="1:8" ht="15.75" customHeight="1" x14ac:dyDescent="0.3">
      <c r="A23" s="3">
        <v>1022</v>
      </c>
      <c r="B23" s="4" t="s">
        <v>49</v>
      </c>
      <c r="C23" s="4" t="s">
        <v>23</v>
      </c>
      <c r="D23" s="4" t="s">
        <v>31</v>
      </c>
      <c r="E23" s="3">
        <v>35</v>
      </c>
      <c r="F23" s="3">
        <v>5</v>
      </c>
      <c r="G23" s="5">
        <v>45353</v>
      </c>
      <c r="H23">
        <f>Table2[[#This Row],[Quantity]]*Table2[[#This Row],[UnitPrice]]</f>
        <v>175</v>
      </c>
    </row>
    <row r="24" spans="1:8" ht="15.75" customHeight="1" x14ac:dyDescent="0.3">
      <c r="A24" s="3">
        <v>1023</v>
      </c>
      <c r="B24" s="4" t="s">
        <v>50</v>
      </c>
      <c r="C24" s="4" t="s">
        <v>26</v>
      </c>
      <c r="D24" s="4" t="s">
        <v>34</v>
      </c>
      <c r="E24" s="3">
        <v>30</v>
      </c>
      <c r="F24" s="3">
        <v>8</v>
      </c>
      <c r="G24" s="5">
        <v>45384</v>
      </c>
      <c r="H24">
        <f>Table2[[#This Row],[Quantity]]*Table2[[#This Row],[UnitPrice]]</f>
        <v>240</v>
      </c>
    </row>
    <row r="25" spans="1:8" ht="15.75" customHeight="1" x14ac:dyDescent="0.3">
      <c r="A25" s="3">
        <v>1024</v>
      </c>
      <c r="B25" s="4" t="s">
        <v>51</v>
      </c>
      <c r="C25" s="4" t="s">
        <v>29</v>
      </c>
      <c r="D25" s="4" t="s">
        <v>21</v>
      </c>
      <c r="E25" s="3">
        <v>11</v>
      </c>
      <c r="F25" s="3">
        <v>50</v>
      </c>
      <c r="G25" s="5">
        <v>45445</v>
      </c>
      <c r="H25">
        <f>Table2[[#This Row],[Quantity]]*Table2[[#This Row],[UnitPrice]]</f>
        <v>550</v>
      </c>
    </row>
    <row r="26" spans="1:8" ht="15.75" customHeight="1" x14ac:dyDescent="0.3">
      <c r="A26" s="3">
        <v>1025</v>
      </c>
      <c r="B26" s="4" t="s">
        <v>52</v>
      </c>
      <c r="C26" s="4" t="s">
        <v>20</v>
      </c>
      <c r="D26" s="4" t="s">
        <v>24</v>
      </c>
      <c r="E26" s="3">
        <v>14</v>
      </c>
      <c r="F26" s="3">
        <v>10</v>
      </c>
      <c r="G26" s="5">
        <v>45475</v>
      </c>
      <c r="H26">
        <f>Table2[[#This Row],[Quantity]]*Table2[[#This Row],[UnitPrice]]</f>
        <v>140</v>
      </c>
    </row>
    <row r="27" spans="1:8" ht="15.75" customHeight="1" x14ac:dyDescent="0.3">
      <c r="A27" s="3">
        <v>1026</v>
      </c>
      <c r="B27" s="4" t="s">
        <v>53</v>
      </c>
      <c r="C27" s="4" t="s">
        <v>23</v>
      </c>
      <c r="D27" s="4" t="s">
        <v>27</v>
      </c>
      <c r="E27" s="3">
        <v>16</v>
      </c>
      <c r="F27" s="3">
        <v>25</v>
      </c>
      <c r="G27" s="5">
        <v>45506</v>
      </c>
      <c r="H27">
        <f>Table2[[#This Row],[Quantity]]*Table2[[#This Row],[UnitPrice]]</f>
        <v>400</v>
      </c>
    </row>
    <row r="28" spans="1:8" ht="15.75" customHeight="1" x14ac:dyDescent="0.3">
      <c r="A28" s="3">
        <v>1027</v>
      </c>
      <c r="B28" s="4" t="s">
        <v>54</v>
      </c>
      <c r="C28" s="4" t="s">
        <v>26</v>
      </c>
      <c r="D28" s="4" t="s">
        <v>31</v>
      </c>
      <c r="E28" s="3">
        <v>22</v>
      </c>
      <c r="F28" s="3">
        <v>5</v>
      </c>
      <c r="G28" s="5">
        <v>45537</v>
      </c>
      <c r="H28">
        <f>Table2[[#This Row],[Quantity]]*Table2[[#This Row],[UnitPrice]]</f>
        <v>110</v>
      </c>
    </row>
    <row r="29" spans="1:8" ht="15.75" customHeight="1" x14ac:dyDescent="0.3">
      <c r="A29" s="3">
        <v>1028</v>
      </c>
      <c r="B29" s="4" t="s">
        <v>55</v>
      </c>
      <c r="C29" s="4" t="s">
        <v>29</v>
      </c>
      <c r="D29" s="4" t="s">
        <v>34</v>
      </c>
      <c r="E29" s="3">
        <v>27</v>
      </c>
      <c r="F29" s="3">
        <v>8</v>
      </c>
      <c r="G29" s="5">
        <v>45567</v>
      </c>
      <c r="H29">
        <f>Table2[[#This Row],[Quantity]]*Table2[[#This Row],[UnitPrice]]</f>
        <v>216</v>
      </c>
    </row>
    <row r="30" spans="1:8" ht="15.75" customHeight="1" x14ac:dyDescent="0.3">
      <c r="A30" s="3">
        <v>1029</v>
      </c>
      <c r="B30" s="4" t="s">
        <v>56</v>
      </c>
      <c r="C30" s="4" t="s">
        <v>20</v>
      </c>
      <c r="D30" s="4" t="s">
        <v>21</v>
      </c>
      <c r="E30" s="3">
        <v>13</v>
      </c>
      <c r="F30" s="3">
        <v>50</v>
      </c>
      <c r="G30" s="5">
        <v>45628</v>
      </c>
      <c r="H30">
        <f>Table2[[#This Row],[Quantity]]*Table2[[#This Row],[UnitPrice]]</f>
        <v>650</v>
      </c>
    </row>
    <row r="31" spans="1:8" ht="15.75" customHeight="1" x14ac:dyDescent="0.3">
      <c r="A31" s="3">
        <v>1030</v>
      </c>
      <c r="B31" s="4" t="s">
        <v>57</v>
      </c>
      <c r="C31" s="4" t="s">
        <v>23</v>
      </c>
      <c r="D31" s="4" t="s">
        <v>24</v>
      </c>
      <c r="E31" s="3">
        <v>32</v>
      </c>
      <c r="F31" s="3">
        <v>10</v>
      </c>
      <c r="G31" s="3" t="s">
        <v>91</v>
      </c>
      <c r="H31">
        <f>Table2[[#This Row],[Quantity]]*Table2[[#This Row],[UnitPrice]]</f>
        <v>320</v>
      </c>
    </row>
    <row r="32" spans="1:8" x14ac:dyDescent="0.3">
      <c r="A32" s="3">
        <v>1031</v>
      </c>
      <c r="B32" s="4" t="s">
        <v>58</v>
      </c>
      <c r="C32" s="4" t="s">
        <v>26</v>
      </c>
      <c r="D32" s="4" t="s">
        <v>27</v>
      </c>
      <c r="E32" s="3">
        <v>10</v>
      </c>
      <c r="F32" s="3">
        <v>25</v>
      </c>
      <c r="G32" s="3" t="s">
        <v>92</v>
      </c>
      <c r="H32">
        <f>Table2[[#This Row],[Quantity]]*Table2[[#This Row],[UnitPrice]]</f>
        <v>250</v>
      </c>
    </row>
    <row r="33" spans="1:8" x14ac:dyDescent="0.3">
      <c r="A33" s="3">
        <v>1032</v>
      </c>
      <c r="B33" s="4" t="s">
        <v>59</v>
      </c>
      <c r="C33" s="4" t="s">
        <v>29</v>
      </c>
      <c r="D33" s="4" t="s">
        <v>31</v>
      </c>
      <c r="E33" s="3">
        <v>18</v>
      </c>
      <c r="F33" s="3">
        <v>5</v>
      </c>
      <c r="G33" s="3" t="s">
        <v>93</v>
      </c>
      <c r="H33">
        <f>Table2[[#This Row],[Quantity]]*Table2[[#This Row],[UnitPrice]]</f>
        <v>90</v>
      </c>
    </row>
    <row r="34" spans="1:8" x14ac:dyDescent="0.3">
      <c r="A34" s="3">
        <v>1033</v>
      </c>
      <c r="B34" s="4" t="s">
        <v>60</v>
      </c>
      <c r="C34" s="4" t="s">
        <v>20</v>
      </c>
      <c r="D34" s="4" t="s">
        <v>34</v>
      </c>
      <c r="E34" s="3">
        <v>22</v>
      </c>
      <c r="F34" s="3">
        <v>8</v>
      </c>
      <c r="G34" s="3" t="s">
        <v>94</v>
      </c>
      <c r="H34">
        <f>Table2[[#This Row],[Quantity]]*Table2[[#This Row],[UnitPrice]]</f>
        <v>176</v>
      </c>
    </row>
    <row r="35" spans="1:8" x14ac:dyDescent="0.3">
      <c r="A35" s="3">
        <v>1034</v>
      </c>
      <c r="B35" s="4" t="s">
        <v>61</v>
      </c>
      <c r="C35" s="4" t="s">
        <v>23</v>
      </c>
      <c r="D35" s="4" t="s">
        <v>21</v>
      </c>
      <c r="E35" s="3">
        <v>17</v>
      </c>
      <c r="F35" s="3">
        <v>50</v>
      </c>
      <c r="G35" s="3" t="s">
        <v>95</v>
      </c>
      <c r="H35">
        <f>Table2[[#This Row],[Quantity]]*Table2[[#This Row],[UnitPrice]]</f>
        <v>850</v>
      </c>
    </row>
    <row r="36" spans="1:8" x14ac:dyDescent="0.3">
      <c r="A36" s="3">
        <v>1035</v>
      </c>
      <c r="B36" s="4" t="s">
        <v>62</v>
      </c>
      <c r="C36" s="4" t="s">
        <v>26</v>
      </c>
      <c r="D36" s="4" t="s">
        <v>24</v>
      </c>
      <c r="E36" s="3">
        <v>19</v>
      </c>
      <c r="F36" s="3">
        <v>10</v>
      </c>
      <c r="G36" s="3" t="s">
        <v>96</v>
      </c>
      <c r="H36">
        <f>Table2[[#This Row],[Quantity]]*Table2[[#This Row],[UnitPrice]]</f>
        <v>190</v>
      </c>
    </row>
    <row r="37" spans="1:8" x14ac:dyDescent="0.3">
      <c r="A37" s="3">
        <v>1036</v>
      </c>
      <c r="B37" s="4" t="s">
        <v>63</v>
      </c>
      <c r="C37" s="4" t="s">
        <v>29</v>
      </c>
      <c r="D37" s="4" t="s">
        <v>27</v>
      </c>
      <c r="E37" s="3">
        <v>15</v>
      </c>
      <c r="F37" s="3">
        <v>25</v>
      </c>
      <c r="G37" s="3" t="s">
        <v>97</v>
      </c>
      <c r="H37">
        <f>Table2[[#This Row],[Quantity]]*Table2[[#This Row],[UnitPrice]]</f>
        <v>375</v>
      </c>
    </row>
    <row r="38" spans="1:8" x14ac:dyDescent="0.3">
      <c r="A38" s="3">
        <v>1037</v>
      </c>
      <c r="B38" s="4" t="s">
        <v>64</v>
      </c>
      <c r="C38" s="4" t="s">
        <v>20</v>
      </c>
      <c r="D38" s="4" t="s">
        <v>31</v>
      </c>
      <c r="E38" s="3">
        <v>28</v>
      </c>
      <c r="F38" s="3">
        <v>5</v>
      </c>
      <c r="G38" s="3" t="s">
        <v>98</v>
      </c>
      <c r="H38">
        <f>Table2[[#This Row],[Quantity]]*Table2[[#This Row],[UnitPrice]]</f>
        <v>140</v>
      </c>
    </row>
    <row r="39" spans="1:8" x14ac:dyDescent="0.3">
      <c r="A39" s="3">
        <v>1038</v>
      </c>
      <c r="B39" s="4" t="s">
        <v>65</v>
      </c>
      <c r="C39" s="4" t="s">
        <v>23</v>
      </c>
      <c r="D39" s="4" t="s">
        <v>34</v>
      </c>
      <c r="E39" s="3">
        <v>24</v>
      </c>
      <c r="F39" s="3">
        <v>8</v>
      </c>
      <c r="G39" s="3" t="s">
        <v>99</v>
      </c>
      <c r="H39">
        <f>Table2[[#This Row],[Quantity]]*Table2[[#This Row],[UnitPrice]]</f>
        <v>192</v>
      </c>
    </row>
    <row r="40" spans="1:8" x14ac:dyDescent="0.3">
      <c r="A40" s="3">
        <v>1039</v>
      </c>
      <c r="B40" s="4" t="s">
        <v>66</v>
      </c>
      <c r="C40" s="4" t="s">
        <v>26</v>
      </c>
      <c r="D40" s="4" t="s">
        <v>21</v>
      </c>
      <c r="E40" s="3">
        <v>16</v>
      </c>
      <c r="F40" s="3">
        <v>50</v>
      </c>
      <c r="G40" s="3" t="s">
        <v>100</v>
      </c>
      <c r="H40">
        <f>Table2[[#This Row],[Quantity]]*Table2[[#This Row],[UnitPrice]]</f>
        <v>800</v>
      </c>
    </row>
    <row r="41" spans="1:8" x14ac:dyDescent="0.3">
      <c r="A41" s="3">
        <v>1040</v>
      </c>
      <c r="B41" s="4" t="s">
        <v>67</v>
      </c>
      <c r="C41" s="4" t="s">
        <v>29</v>
      </c>
      <c r="D41" s="4" t="s">
        <v>24</v>
      </c>
      <c r="E41" s="3">
        <v>27</v>
      </c>
      <c r="F41" s="3">
        <v>10</v>
      </c>
      <c r="G41" s="3" t="s">
        <v>101</v>
      </c>
      <c r="H41">
        <f>Table2[[#This Row],[Quantity]]*Table2[[#This Row],[UnitPrice]]</f>
        <v>270</v>
      </c>
    </row>
    <row r="42" spans="1:8" x14ac:dyDescent="0.3">
      <c r="A42" s="3">
        <v>1041</v>
      </c>
      <c r="B42" s="4" t="s">
        <v>68</v>
      </c>
      <c r="C42" s="4" t="s">
        <v>20</v>
      </c>
      <c r="D42" s="4" t="s">
        <v>27</v>
      </c>
      <c r="E42" s="3">
        <v>21</v>
      </c>
      <c r="F42" s="3">
        <v>25</v>
      </c>
      <c r="G42" s="3" t="s">
        <v>102</v>
      </c>
      <c r="H42">
        <f>Table2[[#This Row],[Quantity]]*Table2[[#This Row],[UnitPrice]]</f>
        <v>525</v>
      </c>
    </row>
    <row r="43" spans="1:8" x14ac:dyDescent="0.3">
      <c r="A43" s="3">
        <v>1042</v>
      </c>
      <c r="B43" s="4" t="s">
        <v>69</v>
      </c>
      <c r="C43" s="4" t="s">
        <v>23</v>
      </c>
      <c r="D43" s="4" t="s">
        <v>31</v>
      </c>
      <c r="E43" s="3">
        <v>30</v>
      </c>
      <c r="F43" s="3">
        <v>5</v>
      </c>
      <c r="G43" s="3" t="s">
        <v>103</v>
      </c>
      <c r="H43">
        <f>Table2[[#This Row],[Quantity]]*Table2[[#This Row],[UnitPrice]]</f>
        <v>150</v>
      </c>
    </row>
    <row r="44" spans="1:8" x14ac:dyDescent="0.3">
      <c r="A44" s="3">
        <v>1043</v>
      </c>
      <c r="B44" s="4" t="s">
        <v>70</v>
      </c>
      <c r="C44" s="4" t="s">
        <v>26</v>
      </c>
      <c r="D44" s="4" t="s">
        <v>34</v>
      </c>
      <c r="E44" s="3">
        <v>26</v>
      </c>
      <c r="F44" s="3">
        <v>8</v>
      </c>
      <c r="G44" s="5">
        <v>45294</v>
      </c>
      <c r="H44">
        <f>Table2[[#This Row],[Quantity]]*Table2[[#This Row],[UnitPrice]]</f>
        <v>208</v>
      </c>
    </row>
    <row r="45" spans="1:8" x14ac:dyDescent="0.3">
      <c r="A45" s="3">
        <v>1044</v>
      </c>
      <c r="B45" s="4" t="s">
        <v>71</v>
      </c>
      <c r="C45" s="4" t="s">
        <v>29</v>
      </c>
      <c r="D45" s="4" t="s">
        <v>21</v>
      </c>
      <c r="E45" s="3">
        <v>14</v>
      </c>
      <c r="F45" s="3">
        <v>50</v>
      </c>
      <c r="G45" s="5">
        <v>45325</v>
      </c>
      <c r="H45">
        <f>Table2[[#This Row],[Quantity]]*Table2[[#This Row],[UnitPrice]]</f>
        <v>700</v>
      </c>
    </row>
    <row r="46" spans="1:8" x14ac:dyDescent="0.3">
      <c r="A46" s="3">
        <v>1045</v>
      </c>
      <c r="B46" s="4" t="s">
        <v>72</v>
      </c>
      <c r="C46" s="4" t="s">
        <v>20</v>
      </c>
      <c r="D46" s="4" t="s">
        <v>24</v>
      </c>
      <c r="E46" s="3">
        <v>20</v>
      </c>
      <c r="F46" s="3">
        <v>10</v>
      </c>
      <c r="G46" s="5">
        <v>45354</v>
      </c>
      <c r="H46">
        <f>Table2[[#This Row],[Quantity]]*Table2[[#This Row],[UnitPrice]]</f>
        <v>200</v>
      </c>
    </row>
    <row r="47" spans="1:8" x14ac:dyDescent="0.3">
      <c r="A47" s="3">
        <v>1046</v>
      </c>
      <c r="B47" s="4" t="s">
        <v>73</v>
      </c>
      <c r="C47" s="4" t="s">
        <v>23</v>
      </c>
      <c r="D47" s="4" t="s">
        <v>27</v>
      </c>
      <c r="E47" s="3">
        <v>17</v>
      </c>
      <c r="F47" s="3">
        <v>25</v>
      </c>
      <c r="G47" s="5">
        <v>45385</v>
      </c>
      <c r="H47">
        <f>Table2[[#This Row],[Quantity]]*Table2[[#This Row],[UnitPrice]]</f>
        <v>425</v>
      </c>
    </row>
    <row r="48" spans="1:8" x14ac:dyDescent="0.3">
      <c r="A48" s="3">
        <v>1047</v>
      </c>
      <c r="B48" s="4" t="s">
        <v>74</v>
      </c>
      <c r="C48" s="4" t="s">
        <v>26</v>
      </c>
      <c r="D48" s="4" t="s">
        <v>31</v>
      </c>
      <c r="E48" s="3">
        <v>19</v>
      </c>
      <c r="F48" s="3">
        <v>5</v>
      </c>
      <c r="G48" s="5">
        <v>45415</v>
      </c>
      <c r="H48">
        <f>Table2[[#This Row],[Quantity]]*Table2[[#This Row],[UnitPrice]]</f>
        <v>95</v>
      </c>
    </row>
    <row r="49" spans="1:8" x14ac:dyDescent="0.3">
      <c r="A49" s="3">
        <v>1048</v>
      </c>
      <c r="B49" s="4" t="s">
        <v>75</v>
      </c>
      <c r="C49" s="4" t="s">
        <v>29</v>
      </c>
      <c r="D49" s="4" t="s">
        <v>34</v>
      </c>
      <c r="E49" s="3">
        <v>32</v>
      </c>
      <c r="F49" s="3">
        <v>8</v>
      </c>
      <c r="G49" s="5">
        <v>45446</v>
      </c>
      <c r="H49">
        <f>Table2[[#This Row],[Quantity]]*Table2[[#This Row],[UnitPrice]]</f>
        <v>256</v>
      </c>
    </row>
    <row r="50" spans="1:8" x14ac:dyDescent="0.3">
      <c r="A50" s="3">
        <v>1049</v>
      </c>
      <c r="B50" s="4" t="s">
        <v>76</v>
      </c>
      <c r="C50" s="4" t="s">
        <v>20</v>
      </c>
      <c r="D50" s="4" t="s">
        <v>21</v>
      </c>
      <c r="E50" s="3">
        <v>12</v>
      </c>
      <c r="F50" s="3">
        <v>50</v>
      </c>
      <c r="G50" s="5">
        <v>45476</v>
      </c>
      <c r="H50">
        <f>Table2[[#This Row],[Quantity]]*Table2[[#This Row],[UnitPrice]]</f>
        <v>600</v>
      </c>
    </row>
    <row r="51" spans="1:8" x14ac:dyDescent="0.3">
      <c r="A51" s="3">
        <v>1050</v>
      </c>
      <c r="B51" s="4" t="s">
        <v>77</v>
      </c>
      <c r="C51" s="4" t="s">
        <v>23</v>
      </c>
      <c r="D51" s="4" t="s">
        <v>24</v>
      </c>
      <c r="E51" s="3">
        <v>25</v>
      </c>
      <c r="F51" s="3">
        <v>10</v>
      </c>
      <c r="G51" s="5">
        <v>45507</v>
      </c>
      <c r="H51">
        <f>Table2[[#This Row],[Quantity]]*Table2[[#This Row],[UnitPrice]]</f>
        <v>250</v>
      </c>
    </row>
    <row r="52" spans="1:8" x14ac:dyDescent="0.3">
      <c r="A52" s="3"/>
      <c r="B52" s="4"/>
      <c r="C52" s="4"/>
      <c r="D52" s="4"/>
      <c r="E52" s="3"/>
      <c r="F52" s="3"/>
      <c r="G52" s="5"/>
      <c r="H52">
        <f>SUM(Table2[Total Sales])</f>
        <v>16543</v>
      </c>
    </row>
    <row r="53" spans="1:8" x14ac:dyDescent="0.3">
      <c r="A53" s="4"/>
      <c r="B53" s="4"/>
      <c r="C53" s="4"/>
      <c r="D53" s="4"/>
      <c r="E53" s="4"/>
      <c r="F53" s="4"/>
      <c r="G53" s="4"/>
    </row>
    <row r="54" spans="1:8" x14ac:dyDescent="0.3">
      <c r="A54" t="s">
        <v>104</v>
      </c>
    </row>
    <row r="55" spans="1:8" x14ac:dyDescent="0.3">
      <c r="A55">
        <f>COUNTA(Table2[CustomerName])</f>
        <v>50</v>
      </c>
    </row>
    <row r="57" spans="1:8" x14ac:dyDescent="0.3">
      <c r="A57" t="s">
        <v>105</v>
      </c>
    </row>
    <row r="58" spans="1:8" x14ac:dyDescent="0.3">
      <c r="A58">
        <v>16543</v>
      </c>
    </row>
    <row r="60" spans="1:8" x14ac:dyDescent="0.3">
      <c r="A60" t="s">
        <v>107</v>
      </c>
    </row>
    <row r="61" spans="1:8" x14ac:dyDescent="0.3">
      <c r="A61">
        <f>SUMIFS(Table2[Total Sales],Table2[Product],"Notebook",Table2[Region],"North")</f>
        <v>2900</v>
      </c>
    </row>
    <row r="63" spans="1:8" x14ac:dyDescent="0.3">
      <c r="A63" t="s">
        <v>108</v>
      </c>
    </row>
    <row r="81" spans="1:1" x14ac:dyDescent="0.3">
      <c r="A81" t="s">
        <v>109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SALESOFCAR&amp;BICYCLE</vt:lpstr>
      <vt:lpstr>ITEMSALES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Gurman Singh</dc:creator>
  <cp:lastModifiedBy>Gurman Singh</cp:lastModifiedBy>
  <cp:lastPrinted>2026-02-14T17:38:10Z</cp:lastPrinted>
  <dcterms:created xsi:type="dcterms:W3CDTF">2026-02-13T11:48:59Z</dcterms:created>
  <dcterms:modified xsi:type="dcterms:W3CDTF">2026-02-14T17:38:52Z</dcterms:modified>
</cp:coreProperties>
</file>